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mortization Schedule" sheetId="1" state="visible" r:id="rId3"/>
    <sheet name="Journal Entries" sheetId="2" state="visible" r:id="rId4"/>
    <sheet name="BCF Disclosure (ASC 470-20-30)" sheetId="3" state="visible" r:id="rId5"/>
    <sheet name="Bifurcation Triage (ASC 815-15)" sheetId="4" state="visible" r:id="rId6"/>
    <sheet name="Cap Table Impact" sheetId="5" state="visible" r:id="rId7"/>
    <sheet name="Report Coverag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<sst xmlns="http://schemas.openxmlformats.org/spreadsheetml/2006/main" count="174" uniqueCount="120">
  <si>
    <t xml:space="preserve">Convertible Note — Demo (Made-Up Terms)</t>
  </si>
  <si>
    <t xml:space="preserve">Every figure below comes from running this platform's real accounting engine — see the accompanying README for the exact functions.</t>
  </si>
  <si>
    <t xml:space="preserve">Terms</t>
  </si>
  <si>
    <t xml:space="preserve">Issue date</t>
  </si>
  <si>
    <t xml:space="preserve">2026-01-01</t>
  </si>
  <si>
    <t xml:space="preserve">Maturity date</t>
  </si>
  <si>
    <t xml:space="preserve">2031-01-01</t>
  </si>
  <si>
    <t xml:space="preserve">Term</t>
  </si>
  <si>
    <t xml:space="preserve">5 years, bullet principal repayment at maturity</t>
  </si>
  <si>
    <t xml:space="preserve">Face value</t>
  </si>
  <si>
    <t xml:space="preserve">Stated annual coupon rate</t>
  </si>
  <si>
    <t xml:space="preserve">Coupon frequency</t>
  </si>
  <si>
    <t xml:space="preserve">Annual, in arrears</t>
  </si>
  <si>
    <t xml:space="preserve">Deferred financing fees (issuance costs)</t>
  </si>
  <si>
    <t xml:space="preserve">Conversion price per share</t>
  </si>
  <si>
    <t xml:space="preserve">Number of conversion shares</t>
  </si>
  <si>
    <t xml:space="preserve">Commitment-date fair value per share</t>
  </si>
  <si>
    <t xml:space="preserve">Issuance-Date Proceeds Bridge</t>
  </si>
  <si>
    <t xml:space="preserve">Less: deferred financing fees</t>
  </si>
  <si>
    <t xml:space="preserve">Proceeds allocated to the note (pre-BCF)</t>
  </si>
  <si>
    <t xml:space="preserve">Less: beneficial conversion feature (ASC 470-20-30, see BCF tab)</t>
  </si>
  <si>
    <t xml:space="preserve">Net carrying value at issuance (fed to the amortization engine)</t>
  </si>
  <si>
    <t xml:space="preserve">Solved Effective Yield</t>
  </si>
  <si>
    <t xml:space="preserve">Effective annual yield (solved via bisection from net carrying value + contractual cash flows)</t>
  </si>
  <si>
    <t xml:space="preserve">Stated coupon rate, for comparison</t>
  </si>
  <si>
    <t xml:space="preserve">The gap (~11 points) is entirely the deferred financing fees + BCF discount amortizing as extra interest expense over the note's life.</t>
  </si>
  <si>
    <t xml:space="preserve">Amortization Schedule (ASC 835-30 effective-interest method)</t>
  </si>
  <si>
    <t xml:space="preserve">Year</t>
  </si>
  <si>
    <t xml:space="preserve">Period Start</t>
  </si>
  <si>
    <t xml:space="preserve">Period End</t>
  </si>
  <si>
    <t xml:space="preserve">Beginning Balance</t>
  </si>
  <si>
    <t xml:space="preserve">Interest Expense</t>
  </si>
  <si>
    <t xml:space="preserve">Cash Paid</t>
  </si>
  <si>
    <t xml:space="preserve">Discount Amortization</t>
  </si>
  <si>
    <t xml:space="preserve">Ending Balance</t>
  </si>
  <si>
    <t xml:space="preserve">2027-01-01</t>
  </si>
  <si>
    <t xml:space="preserve">2028-01-01</t>
  </si>
  <si>
    <t xml:space="preserve">2029-01-01</t>
  </si>
  <si>
    <t xml:space="preserve">2030-01-01</t>
  </si>
  <si>
    <t xml:space="preserve">TOTAL</t>
  </si>
  <si>
    <t xml:space="preserve">Ending carrying value at maturity is $0.00 — expected: the final cash flow includes both the last period's interest AND the full principal repayment, fully extinguishing the note. This is not an error; it's how a bullet-repayment effective-interest schedule always resolves.</t>
  </si>
  <si>
    <t xml:space="preserve">Journal Entries</t>
  </si>
  <si>
    <t xml:space="preserve">Produced by dispatch.ts's journalEntryForRow (debt path) for each schedule row, plus the day-one BCF entry. Every entry below is confirmed balanced (assertBalanced).</t>
  </si>
  <si>
    <t xml:space="preserve">Beneficial conversion feature on convertible debt, recorded as additional debt discount</t>
  </si>
  <si>
    <t xml:space="preserve">Account</t>
  </si>
  <si>
    <t xml:space="preserve">Debit</t>
  </si>
  <si>
    <t xml:space="preserve">Credit</t>
  </si>
  <si>
    <t xml:space="preserve">Discount on Debt (contra-liability)</t>
  </si>
  <si>
    <t xml:space="preserve">Additional Paid-In Capital</t>
  </si>
  <si>
    <t xml:space="preserve">Balanced: YES</t>
  </si>
  <si>
    <t xml:space="preserve">Interest expense — Year 1</t>
  </si>
  <si>
    <t xml:space="preserve">Cash</t>
  </si>
  <si>
    <t xml:space="preserve">Interest expense — Year 2</t>
  </si>
  <si>
    <t xml:space="preserve">Interest expense — Year 3</t>
  </si>
  <si>
    <t xml:space="preserve">Interest expense — Year 4</t>
  </si>
  <si>
    <t xml:space="preserve">Interest expense — Year 5</t>
  </si>
  <si>
    <t xml:space="preserve">Premium on Debt (contra-liability)</t>
  </si>
  <si>
    <t xml:space="preserve">Beneficial Conversion Feature Disclosure</t>
  </si>
  <si>
    <t xml:space="preserve">Computed via beneficialConversionFeature.ts's computeBeneficialConversionFeature — this platform's BCF calculator (/reports/beneficial-conversion-feature) is a standalone hand-entry tool not wired to stored instruments, so these inputs are entered there by hand to reproduce this same result.</t>
  </si>
  <si>
    <t xml:space="preserve">Proceeds allocated to the convertible instrument</t>
  </si>
  <si>
    <t xml:space="preserve">Effective conversion price per share (= proceeds / shares)</t>
  </si>
  <si>
    <t xml:space="preserve">Intrinsic value per share (= FV - effective conversion price, floored at 0)</t>
  </si>
  <si>
    <t xml:space="preserve">Has a beneficial conversion feature?</t>
  </si>
  <si>
    <t xml:space="preserve">YES</t>
  </si>
  <si>
    <t xml:space="preserve">Beneficial conversion feature amount (capped at proceeds allocated)</t>
  </si>
  <si>
    <t xml:space="preserve">Embedded Derivative Bifurcation Triage</t>
  </si>
  <si>
    <t xml:space="preserve">Computed via embeddedDerivativeBifurcation.ts's classifyEmbeddedConversionFeature — also a standalone calculator (/reports/embedded-derivative-bifurcation), reusing warrantAllocation.ts's classifyWarrant test.</t>
  </si>
  <si>
    <t xml:space="preserve">Net cash settlement possible?</t>
  </si>
  <si>
    <t xml:space="preserve">No — physical share settlement only</t>
  </si>
  <si>
    <t xml:space="preserve">Indexed to issuer's own stock only?</t>
  </si>
  <si>
    <t xml:space="preserve">Yes — fixed conversion price, no down-round reset</t>
  </si>
  <si>
    <t xml:space="preserve">Has down-round protection?</t>
  </si>
  <si>
    <t xml:space="preserve">No</t>
  </si>
  <si>
    <t xml:space="preserve">Outcome</t>
  </si>
  <si>
    <t xml:space="preserve">NOT REQUIRED</t>
  </si>
  <si>
    <t xml:space="preserve">Reason</t>
  </si>
  <si>
    <t xml:space="preserve">ASC 815-10-15-74 scope exception: a conversion feature indexed only to the issuer's own stock that would be equity-classified if freestanding is excluded from bifurcation.</t>
  </si>
  <si>
    <t xml:space="preserve">Cap Table — Fully-Diluted As-Converted Contribution</t>
  </si>
  <si>
    <t xml:space="preserve">Computed via capTable.ts's classifyInstrumentForCapTable.</t>
  </si>
  <si>
    <t xml:space="preserve">Classification</t>
  </si>
  <si>
    <t xml:space="preserve">Equity (as-converted)</t>
  </si>
  <si>
    <t xml:space="preserve">As-converted shares (face value / conversion price)</t>
  </si>
  <si>
    <t xml:space="preserve">Note: as-converted on face value only — excludes any accrued PIK/deferred interest that would also convert. A real conversion also converts accrued-but-unpaid interest into additional shares at the same price; that would need the note's carrying/accrued-interest balance as of the conversion date, not just its static terms.</t>
  </si>
  <si>
    <t xml:space="preserve">Which Reports Touch This Instrument</t>
  </si>
  <si>
    <t xml:space="preserve">Every report in the app checked against CONVERTIBLE_NOTE — same methodology as the stock option demo.</t>
  </si>
  <si>
    <t xml:space="preserve">Report</t>
  </si>
  <si>
    <t xml:space="preserve">Shows this note?</t>
  </si>
  <si>
    <t xml:space="preserve">Notes</t>
  </si>
  <si>
    <t xml:space="preserve">Cap table (/captable)</t>
  </si>
  <si>
    <t xml:space="preserve">Yes, immediately</t>
  </si>
  <si>
    <t xml:space="preserve">Fully-diluted as-converted share contribution — see the Cap Table Impact tab. No approval step needed for this type.</t>
  </si>
  <si>
    <t xml:space="preserve">Audit trail (/reports/audit-trail)</t>
  </si>
  <si>
    <t xml:space="preserve">Generic across every instrument type — shows the origination term version as soon as it's created.</t>
  </si>
  <si>
    <t xml:space="preserve">Financial statements (/reports/financial-statements)</t>
  </si>
  <si>
    <t xml:space="preserve">Yes, once periods are closed</t>
  </si>
  <si>
    <t xml:space="preserve">Reads posted journal entries (db.journalEntry), not type-filtered — interest expense shows up in the account roll-forward once each annual period is actually closed. The equity-comp ASC 718 disclosure sub-table on that same page is STOCK_OPTION/RSU/RESTRICTED_STOCK only and is unrelated to this note.</t>
  </si>
  <si>
    <t xml:space="preserve">Modification audit (/reports/modification-audit)</t>
  </si>
  <si>
    <t xml:space="preserve">Only if later modified</t>
  </si>
  <si>
    <t xml:space="preserve">Generic across instrument types, but shows nothing for a fresh origination with no modifications — correct, not a gap.</t>
  </si>
  <si>
    <t xml:space="preserve">Debt modification / extinguishment (/reports/debt-modification)</t>
  </si>
  <si>
    <t xml:space="preserve">NO — real scope gap</t>
  </si>
  <si>
    <t xml:space="preserve">This report is explicitly TERM_LOAN-only per its own doc comment. A CONVERTIBLE_NOTE modification or extinguishment would need to be run through the underlying debtModification.ts engine directly (or via a future extension of that report) — it will never appear on this report page as built today.</t>
  </si>
  <si>
    <t xml:space="preserve">Beneficial conversion feature calculator (/reports/beneficial-conversion-feature)</t>
  </si>
  <si>
    <t xml:space="preserve">Manual re-entry</t>
  </si>
  <si>
    <t xml:space="preserve">Standalone calculator, not wired to stored instruments — enter this note's numbers by hand to reproduce the BCF Disclosure tab's result.</t>
  </si>
  <si>
    <t xml:space="preserve">Embedded derivative bifurcation calculator (/reports/embedded-derivative-bifurcation)</t>
  </si>
  <si>
    <t xml:space="preserve">Same as above — standalone, reproduces the Bifurcation Triage tab's NOT REQUIRED outcome when the same three yes/no inputs are entered.</t>
  </si>
  <si>
    <t xml:space="preserve">Two-class method EPS calculator (/reports/eps)</t>
  </si>
  <si>
    <t xml:space="preserve">Manual re-entry, if-converted mode</t>
  </si>
  <si>
    <t xml:space="preserve">Standalone, not wired to stored instruments. The if-converted method is conceptually the right lens for this note's dilutive effect on EPS, but the calculator needs net income and share counts typed in by hand, not read from this instrument.</t>
  </si>
  <si>
    <t xml:space="preserve">Tax filing support (/reports/tax)</t>
  </si>
  <si>
    <t xml:space="preserve">Not applicable</t>
  </si>
  <si>
    <t xml:space="preserve">QSBS / 83(b) / ISO $100k calculators — none apply to debt.</t>
  </si>
  <si>
    <t xml:space="preserve">Troubled debt restructuring calculator (/reports/troubled-debt-restructuring)</t>
  </si>
  <si>
    <t xml:space="preserve">Not applicable here</t>
  </si>
  <si>
    <t xml:space="preserve">Standalone; only relevant if this note were later restructured as a concession to a debtor in financial difficulty — not the case for a fresh origination.</t>
  </si>
  <si>
    <t xml:space="preserve">Grants report (/reports/grants)</t>
  </si>
  <si>
    <t xml:space="preserve">STOCK_OPTION/RSU/RESTRICTED_STOCK only by design — a convertible note has no vesting schedule for this report to show.</t>
  </si>
  <si>
    <t xml:space="preserve">Settlement / SAFE / ESPP / exit waterfall / equity comp disclosures / nonemployee awards</t>
  </si>
  <si>
    <t xml:space="preserve">Different instrument types or unrelated calculators — not applicable to a convertible note.</t>
  </si>
</sst>
</file>

<file path=xl/styles.xml><?xml version="1.0" encoding="utf-8"?>
<styleSheet xmlns="http://schemas.openxmlformats.org/spreadsheetml/2006/main">
  <numFmts count="5">
    <numFmt numFmtId="164" formatCode="General"/>
    <numFmt numFmtId="165" formatCode="\$#,##0.00;&quot;($&quot;#,##0.00\);\-"/>
    <numFmt numFmtId="166" formatCode="0.00%"/>
    <numFmt numFmtId="167" formatCode="#,##0"/>
    <numFmt numFmtId="168" formatCode="0.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1F4E78"/>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4E78"/>
        <bgColor rgb="FF003366"/>
      </patternFill>
    </fill>
  </fills>
  <borders count="4">
    <border diagonalUp="false" diagonalDown="false">
      <left/>
      <right/>
      <top/>
      <bottom/>
      <diagonal/>
    </border>
    <border diagonalUp="false" diagonalDown="false">
      <left/>
      <right/>
      <top style="thin"/>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5" fontId="8" fillId="0" borderId="3"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row>
    <row r="6" customFormat="false" ht="15" hidden="false" customHeight="false" outlineLevel="0" collapsed="false">
      <c r="A6" s="4" t="s">
        <v>5</v>
      </c>
      <c r="B6" s="4" t="s">
        <v>6</v>
      </c>
    </row>
    <row r="7" customFormat="false" ht="15" hidden="false" customHeight="false" outlineLevel="0" collapsed="false">
      <c r="A7" s="4" t="s">
        <v>7</v>
      </c>
      <c r="B7" s="4" t="s">
        <v>8</v>
      </c>
    </row>
    <row r="8" customFormat="false" ht="15" hidden="false" customHeight="false" outlineLevel="0" collapsed="false">
      <c r="A8" s="4" t="s">
        <v>9</v>
      </c>
      <c r="B8" s="5" t="n">
        <v>5000000</v>
      </c>
    </row>
    <row r="9" customFormat="false" ht="15" hidden="false" customHeight="false" outlineLevel="0" collapsed="false">
      <c r="A9" s="4" t="s">
        <v>10</v>
      </c>
      <c r="B9" s="6" t="n">
        <v>0.05</v>
      </c>
    </row>
    <row r="10" customFormat="false" ht="15" hidden="false" customHeight="false" outlineLevel="0" collapsed="false">
      <c r="A10" s="4" t="s">
        <v>11</v>
      </c>
      <c r="B10" s="4" t="s">
        <v>12</v>
      </c>
    </row>
    <row r="11" customFormat="false" ht="15" hidden="false" customHeight="false" outlineLevel="0" collapsed="false">
      <c r="A11" s="4" t="s">
        <v>13</v>
      </c>
      <c r="B11" s="5" t="n">
        <v>150000</v>
      </c>
    </row>
    <row r="12" customFormat="false" ht="15" hidden="false" customHeight="false" outlineLevel="0" collapsed="false">
      <c r="A12" s="4" t="s">
        <v>14</v>
      </c>
      <c r="B12" s="5" t="n">
        <v>5</v>
      </c>
    </row>
    <row r="13" customFormat="false" ht="15" hidden="false" customHeight="false" outlineLevel="0" collapsed="false">
      <c r="A13" s="4" t="s">
        <v>15</v>
      </c>
      <c r="B13" s="7" t="n">
        <v>1000000</v>
      </c>
    </row>
    <row r="14" customFormat="false" ht="15" hidden="false" customHeight="false" outlineLevel="0" collapsed="false">
      <c r="A14" s="4" t="s">
        <v>16</v>
      </c>
      <c r="B14" s="5" t="n">
        <v>6.5</v>
      </c>
    </row>
    <row r="16" customFormat="false" ht="15" hidden="false" customHeight="false" outlineLevel="0" collapsed="false">
      <c r="A16" s="3" t="s">
        <v>17</v>
      </c>
    </row>
    <row r="17" customFormat="false" ht="15" hidden="false" customHeight="false" outlineLevel="0" collapsed="false">
      <c r="A17" s="4" t="s">
        <v>9</v>
      </c>
      <c r="B17" s="5" t="n">
        <v>5000000</v>
      </c>
    </row>
    <row r="18" customFormat="false" ht="15" hidden="false" customHeight="false" outlineLevel="0" collapsed="false">
      <c r="A18" s="4" t="s">
        <v>18</v>
      </c>
      <c r="B18" s="5" t="n">
        <v>-150000</v>
      </c>
    </row>
    <row r="19" customFormat="false" ht="15" hidden="false" customHeight="false" outlineLevel="0" collapsed="false">
      <c r="A19" s="8" t="s">
        <v>19</v>
      </c>
      <c r="B19" s="9" t="n">
        <v>4850000</v>
      </c>
    </row>
    <row r="20" customFormat="false" ht="15" hidden="false" customHeight="false" outlineLevel="0" collapsed="false">
      <c r="A20" s="4" t="s">
        <v>20</v>
      </c>
      <c r="B20" s="5" t="n">
        <v>-1650000</v>
      </c>
    </row>
    <row r="21" customFormat="false" ht="15" hidden="false" customHeight="false" outlineLevel="0" collapsed="false">
      <c r="A21" s="8" t="s">
        <v>21</v>
      </c>
      <c r="B21" s="9" t="n">
        <v>3200000</v>
      </c>
    </row>
    <row r="23" customFormat="false" ht="15" hidden="false" customHeight="false" outlineLevel="0" collapsed="false">
      <c r="A23" s="3" t="s">
        <v>22</v>
      </c>
    </row>
    <row r="24" customFormat="false" ht="15" hidden="false" customHeight="false" outlineLevel="0" collapsed="false">
      <c r="A24" s="4" t="s">
        <v>23</v>
      </c>
      <c r="B24" s="10" t="n">
        <v>0.159929</v>
      </c>
    </row>
    <row r="25" customFormat="false" ht="15" hidden="false" customHeight="false" outlineLevel="0" collapsed="false">
      <c r="A25" s="2" t="s">
        <v>24</v>
      </c>
      <c r="B25" s="11" t="n">
        <v>0.05</v>
      </c>
    </row>
    <row r="26" customFormat="false" ht="15" hidden="false" customHeight="false" outlineLevel="0" collapsed="false">
      <c r="A26" s="2" t="s">
        <v>25</v>
      </c>
    </row>
    <row r="28" customFormat="false" ht="15" hidden="false" customHeight="false" outlineLevel="0" collapsed="false">
      <c r="A28" s="3" t="s">
        <v>26</v>
      </c>
    </row>
    <row r="29" customFormat="false" ht="23.85" hidden="false" customHeight="false" outlineLevel="0" collapsed="false">
      <c r="A29" s="12" t="s">
        <v>27</v>
      </c>
      <c r="B29" s="12" t="s">
        <v>28</v>
      </c>
      <c r="C29" s="12" t="s">
        <v>29</v>
      </c>
      <c r="D29" s="12" t="s">
        <v>30</v>
      </c>
      <c r="E29" s="12" t="s">
        <v>31</v>
      </c>
      <c r="F29" s="12" t="s">
        <v>32</v>
      </c>
      <c r="G29" s="12" t="s">
        <v>33</v>
      </c>
      <c r="H29" s="12" t="s">
        <v>34</v>
      </c>
    </row>
    <row r="30" customFormat="false" ht="15" hidden="false" customHeight="false" outlineLevel="0" collapsed="false">
      <c r="A30" s="4" t="n">
        <v>1</v>
      </c>
      <c r="B30" s="4" t="s">
        <v>4</v>
      </c>
      <c r="C30" s="4" t="s">
        <v>35</v>
      </c>
      <c r="D30" s="13" t="n">
        <v>3200000</v>
      </c>
      <c r="E30" s="13" t="n">
        <v>511773.52</v>
      </c>
      <c r="F30" s="13" t="n">
        <v>250000</v>
      </c>
      <c r="G30" s="13" t="n">
        <v>261773.52</v>
      </c>
      <c r="H30" s="13" t="n">
        <v>3461773.52</v>
      </c>
    </row>
    <row r="31" customFormat="false" ht="15" hidden="false" customHeight="false" outlineLevel="0" collapsed="false">
      <c r="A31" s="4" t="n">
        <v>2</v>
      </c>
      <c r="B31" s="4" t="s">
        <v>35</v>
      </c>
      <c r="C31" s="4" t="s">
        <v>36</v>
      </c>
      <c r="D31" s="13" t="n">
        <v>3461773.52</v>
      </c>
      <c r="E31" s="13" t="n">
        <v>553638.76</v>
      </c>
      <c r="F31" s="13" t="n">
        <v>250000</v>
      </c>
      <c r="G31" s="13" t="n">
        <v>303638.76</v>
      </c>
      <c r="H31" s="13" t="n">
        <v>3765412.28</v>
      </c>
    </row>
    <row r="32" customFormat="false" ht="15" hidden="false" customHeight="false" outlineLevel="0" collapsed="false">
      <c r="A32" s="4" t="n">
        <v>3</v>
      </c>
      <c r="B32" s="4" t="s">
        <v>36</v>
      </c>
      <c r="C32" s="4" t="s">
        <v>37</v>
      </c>
      <c r="D32" s="13" t="n">
        <v>3765412.28</v>
      </c>
      <c r="E32" s="13" t="n">
        <v>602199.47</v>
      </c>
      <c r="F32" s="13" t="n">
        <v>250000</v>
      </c>
      <c r="G32" s="13" t="n">
        <v>352199.47</v>
      </c>
      <c r="H32" s="13" t="n">
        <v>4117611.76</v>
      </c>
    </row>
    <row r="33" customFormat="false" ht="15" hidden="false" customHeight="false" outlineLevel="0" collapsed="false">
      <c r="A33" s="4" t="n">
        <v>4</v>
      </c>
      <c r="B33" s="4" t="s">
        <v>37</v>
      </c>
      <c r="C33" s="4" t="s">
        <v>38</v>
      </c>
      <c r="D33" s="13" t="n">
        <v>4117611.76</v>
      </c>
      <c r="E33" s="13" t="n">
        <v>658526.46</v>
      </c>
      <c r="F33" s="13" t="n">
        <v>250000</v>
      </c>
      <c r="G33" s="13" t="n">
        <v>408526.46</v>
      </c>
      <c r="H33" s="13" t="n">
        <v>4526138.22</v>
      </c>
    </row>
    <row r="34" customFormat="false" ht="15" hidden="false" customHeight="false" outlineLevel="0" collapsed="false">
      <c r="A34" s="4" t="n">
        <v>5</v>
      </c>
      <c r="B34" s="4" t="s">
        <v>38</v>
      </c>
      <c r="C34" s="4" t="s">
        <v>6</v>
      </c>
      <c r="D34" s="13" t="n">
        <v>4526138.22</v>
      </c>
      <c r="E34" s="13" t="n">
        <v>723861.78</v>
      </c>
      <c r="F34" s="13" t="n">
        <v>5250000</v>
      </c>
      <c r="G34" s="13" t="n">
        <v>-4526138.22</v>
      </c>
      <c r="H34" s="13" t="n">
        <v>0</v>
      </c>
    </row>
    <row r="35" customFormat="false" ht="15" hidden="false" customHeight="false" outlineLevel="0" collapsed="false">
      <c r="C35" s="8" t="s">
        <v>39</v>
      </c>
      <c r="E35" s="14" t="n">
        <f aca="false">SUM(E30:E34)</f>
        <v>3049999.99</v>
      </c>
      <c r="F35" s="14" t="n">
        <f aca="false">SUM(F30:F34)</f>
        <v>6250000</v>
      </c>
      <c r="G35" s="14" t="n">
        <f aca="false">SUM(G30:G34)</f>
        <v>-3200000.01</v>
      </c>
    </row>
    <row r="37" customFormat="false" ht="15" hidden="false" customHeight="false" outlineLevel="0" collapsed="false">
      <c r="A37"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6"/>
  </cols>
  <sheetData>
    <row r="1" customFormat="false" ht="17.35" hidden="false" customHeight="false" outlineLevel="0" collapsed="false">
      <c r="A1" s="1" t="s">
        <v>41</v>
      </c>
    </row>
    <row r="2" customFormat="false" ht="15" hidden="false" customHeight="false" outlineLevel="0" collapsed="false">
      <c r="A2" s="2" t="s">
        <v>42</v>
      </c>
    </row>
    <row r="4" customFormat="false" ht="15" hidden="false" customHeight="false" outlineLevel="0" collapsed="false">
      <c r="A4" s="8" t="s">
        <v>4</v>
      </c>
      <c r="B4" s="8" t="s">
        <v>43</v>
      </c>
    </row>
    <row r="5" customFormat="false" ht="15" hidden="false" customHeight="false" outlineLevel="0" collapsed="false">
      <c r="B5" s="15" t="s">
        <v>44</v>
      </c>
      <c r="C5" s="15" t="s">
        <v>45</v>
      </c>
      <c r="D5" s="15" t="s">
        <v>46</v>
      </c>
    </row>
    <row r="6" customFormat="false" ht="15" hidden="false" customHeight="false" outlineLevel="0" collapsed="false">
      <c r="B6" s="4" t="s">
        <v>47</v>
      </c>
      <c r="C6" s="5" t="n">
        <v>1650000</v>
      </c>
    </row>
    <row r="7" customFormat="false" ht="15" hidden="false" customHeight="false" outlineLevel="0" collapsed="false">
      <c r="B7" s="4" t="s">
        <v>48</v>
      </c>
      <c r="D7" s="5" t="n">
        <v>1650000</v>
      </c>
    </row>
    <row r="8" customFormat="false" ht="15" hidden="false" customHeight="false" outlineLevel="0" collapsed="false">
      <c r="B8" s="2" t="s">
        <v>49</v>
      </c>
    </row>
    <row r="10" customFormat="false" ht="15" hidden="false" customHeight="false" outlineLevel="0" collapsed="false">
      <c r="A10" s="8" t="s">
        <v>35</v>
      </c>
      <c r="B10" s="8" t="s">
        <v>50</v>
      </c>
    </row>
    <row r="11" customFormat="false" ht="15" hidden="false" customHeight="false" outlineLevel="0" collapsed="false">
      <c r="B11" s="15" t="s">
        <v>44</v>
      </c>
      <c r="C11" s="15" t="s">
        <v>45</v>
      </c>
      <c r="D11" s="15" t="s">
        <v>46</v>
      </c>
    </row>
    <row r="12" customFormat="false" ht="15" hidden="false" customHeight="false" outlineLevel="0" collapsed="false">
      <c r="B12" s="4" t="s">
        <v>31</v>
      </c>
      <c r="C12" s="5" t="n">
        <v>511773.52</v>
      </c>
    </row>
    <row r="13" customFormat="false" ht="15" hidden="false" customHeight="false" outlineLevel="0" collapsed="false">
      <c r="B13" s="4" t="s">
        <v>51</v>
      </c>
      <c r="D13" s="5" t="n">
        <v>250000</v>
      </c>
    </row>
    <row r="14" customFormat="false" ht="15" hidden="false" customHeight="false" outlineLevel="0" collapsed="false">
      <c r="B14" s="4" t="s">
        <v>47</v>
      </c>
      <c r="D14" s="5" t="n">
        <v>261773.52</v>
      </c>
    </row>
    <row r="15" customFormat="false" ht="15" hidden="false" customHeight="false" outlineLevel="0" collapsed="false">
      <c r="B15" s="2" t="s">
        <v>49</v>
      </c>
    </row>
    <row r="17" customFormat="false" ht="15" hidden="false" customHeight="false" outlineLevel="0" collapsed="false">
      <c r="A17" s="8" t="s">
        <v>36</v>
      </c>
      <c r="B17" s="8" t="s">
        <v>52</v>
      </c>
    </row>
    <row r="18" customFormat="false" ht="15" hidden="false" customHeight="false" outlineLevel="0" collapsed="false">
      <c r="B18" s="15" t="s">
        <v>44</v>
      </c>
      <c r="C18" s="15" t="s">
        <v>45</v>
      </c>
      <c r="D18" s="15" t="s">
        <v>46</v>
      </c>
    </row>
    <row r="19" customFormat="false" ht="15" hidden="false" customHeight="false" outlineLevel="0" collapsed="false">
      <c r="B19" s="4" t="s">
        <v>31</v>
      </c>
      <c r="C19" s="5" t="n">
        <v>553638.76</v>
      </c>
    </row>
    <row r="20" customFormat="false" ht="15" hidden="false" customHeight="false" outlineLevel="0" collapsed="false">
      <c r="B20" s="4" t="s">
        <v>51</v>
      </c>
      <c r="D20" s="5" t="n">
        <v>250000</v>
      </c>
    </row>
    <row r="21" customFormat="false" ht="15" hidden="false" customHeight="false" outlineLevel="0" collapsed="false">
      <c r="B21" s="4" t="s">
        <v>47</v>
      </c>
      <c r="D21" s="5" t="n">
        <v>303638.76</v>
      </c>
    </row>
    <row r="22" customFormat="false" ht="15" hidden="false" customHeight="false" outlineLevel="0" collapsed="false">
      <c r="B22" s="2" t="s">
        <v>49</v>
      </c>
    </row>
    <row r="24" customFormat="false" ht="15" hidden="false" customHeight="false" outlineLevel="0" collapsed="false">
      <c r="A24" s="8" t="s">
        <v>37</v>
      </c>
      <c r="B24" s="8" t="s">
        <v>53</v>
      </c>
    </row>
    <row r="25" customFormat="false" ht="15" hidden="false" customHeight="false" outlineLevel="0" collapsed="false">
      <c r="B25" s="15" t="s">
        <v>44</v>
      </c>
      <c r="C25" s="15" t="s">
        <v>45</v>
      </c>
      <c r="D25" s="15" t="s">
        <v>46</v>
      </c>
    </row>
    <row r="26" customFormat="false" ht="15" hidden="false" customHeight="false" outlineLevel="0" collapsed="false">
      <c r="B26" s="4" t="s">
        <v>31</v>
      </c>
      <c r="C26" s="5" t="n">
        <v>602199.47</v>
      </c>
    </row>
    <row r="27" customFormat="false" ht="15" hidden="false" customHeight="false" outlineLevel="0" collapsed="false">
      <c r="B27" s="4" t="s">
        <v>51</v>
      </c>
      <c r="D27" s="5" t="n">
        <v>250000</v>
      </c>
    </row>
    <row r="28" customFormat="false" ht="15" hidden="false" customHeight="false" outlineLevel="0" collapsed="false">
      <c r="B28" s="4" t="s">
        <v>47</v>
      </c>
      <c r="D28" s="5" t="n">
        <v>352199.47</v>
      </c>
    </row>
    <row r="29" customFormat="false" ht="15" hidden="false" customHeight="false" outlineLevel="0" collapsed="false">
      <c r="B29" s="2" t="s">
        <v>49</v>
      </c>
    </row>
    <row r="31" customFormat="false" ht="15" hidden="false" customHeight="false" outlineLevel="0" collapsed="false">
      <c r="A31" s="8" t="s">
        <v>38</v>
      </c>
      <c r="B31" s="8" t="s">
        <v>54</v>
      </c>
    </row>
    <row r="32" customFormat="false" ht="15" hidden="false" customHeight="false" outlineLevel="0" collapsed="false">
      <c r="B32" s="15" t="s">
        <v>44</v>
      </c>
      <c r="C32" s="15" t="s">
        <v>45</v>
      </c>
      <c r="D32" s="15" t="s">
        <v>46</v>
      </c>
    </row>
    <row r="33" customFormat="false" ht="15" hidden="false" customHeight="false" outlineLevel="0" collapsed="false">
      <c r="B33" s="4" t="s">
        <v>31</v>
      </c>
      <c r="C33" s="5" t="n">
        <v>658526.46</v>
      </c>
    </row>
    <row r="34" customFormat="false" ht="15" hidden="false" customHeight="false" outlineLevel="0" collapsed="false">
      <c r="B34" s="4" t="s">
        <v>51</v>
      </c>
      <c r="D34" s="5" t="n">
        <v>250000</v>
      </c>
    </row>
    <row r="35" customFormat="false" ht="15" hidden="false" customHeight="false" outlineLevel="0" collapsed="false">
      <c r="B35" s="4" t="s">
        <v>47</v>
      </c>
      <c r="D35" s="5" t="n">
        <v>408526.46</v>
      </c>
    </row>
    <row r="36" customFormat="false" ht="15" hidden="false" customHeight="false" outlineLevel="0" collapsed="false">
      <c r="B36" s="2" t="s">
        <v>49</v>
      </c>
    </row>
    <row r="38" customFormat="false" ht="15" hidden="false" customHeight="false" outlineLevel="0" collapsed="false">
      <c r="A38" s="8" t="s">
        <v>6</v>
      </c>
      <c r="B38" s="8" t="s">
        <v>55</v>
      </c>
    </row>
    <row r="39" customFormat="false" ht="15" hidden="false" customHeight="false" outlineLevel="0" collapsed="false">
      <c r="B39" s="15" t="s">
        <v>44</v>
      </c>
      <c r="C39" s="15" t="s">
        <v>45</v>
      </c>
      <c r="D39" s="15" t="s">
        <v>46</v>
      </c>
    </row>
    <row r="40" customFormat="false" ht="15" hidden="false" customHeight="false" outlineLevel="0" collapsed="false">
      <c r="B40" s="4" t="s">
        <v>31</v>
      </c>
      <c r="C40" s="5" t="n">
        <v>723861.78</v>
      </c>
    </row>
    <row r="41" customFormat="false" ht="15" hidden="false" customHeight="false" outlineLevel="0" collapsed="false">
      <c r="B41" s="4" t="s">
        <v>51</v>
      </c>
      <c r="D41" s="5" t="n">
        <v>5250000</v>
      </c>
    </row>
    <row r="42" customFormat="false" ht="15" hidden="false" customHeight="false" outlineLevel="0" collapsed="false">
      <c r="B42" s="4" t="s">
        <v>56</v>
      </c>
      <c r="C42" s="5" t="n">
        <v>4526138.22</v>
      </c>
    </row>
    <row r="43" customFormat="false" ht="15" hidden="false" customHeight="false" outlineLevel="0" collapsed="false">
      <c r="B43" s="2"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s>
  <sheetData>
    <row r="1" customFormat="false" ht="17.35" hidden="false" customHeight="false" outlineLevel="0" collapsed="false">
      <c r="A1" s="1" t="s">
        <v>57</v>
      </c>
    </row>
    <row r="2" customFormat="false" ht="45" hidden="false" customHeight="true" outlineLevel="0" collapsed="false">
      <c r="A2" s="16" t="s">
        <v>58</v>
      </c>
    </row>
    <row r="4" customFormat="false" ht="15" hidden="false" customHeight="false" outlineLevel="0" collapsed="false">
      <c r="A4" s="4" t="s">
        <v>59</v>
      </c>
      <c r="B4" s="5" t="n">
        <v>4850000</v>
      </c>
    </row>
    <row r="5" customFormat="false" ht="15" hidden="false" customHeight="false" outlineLevel="0" collapsed="false">
      <c r="A5" s="4" t="s">
        <v>15</v>
      </c>
      <c r="B5" s="7" t="n">
        <v>1000000</v>
      </c>
    </row>
    <row r="6" customFormat="false" ht="15" hidden="false" customHeight="false" outlineLevel="0" collapsed="false">
      <c r="A6" s="4" t="s">
        <v>16</v>
      </c>
      <c r="B6" s="5" t="n">
        <v>6.5</v>
      </c>
    </row>
    <row r="8" customFormat="false" ht="15" hidden="false" customHeight="false" outlineLevel="0" collapsed="false">
      <c r="A8" s="4" t="s">
        <v>60</v>
      </c>
      <c r="B8" s="5" t="n">
        <v>4.85</v>
      </c>
    </row>
    <row r="9" customFormat="false" ht="15" hidden="false" customHeight="false" outlineLevel="0" collapsed="false">
      <c r="A9" s="4" t="s">
        <v>61</v>
      </c>
      <c r="B9" s="5" t="n">
        <v>1.65</v>
      </c>
    </row>
    <row r="10" customFormat="false" ht="15" hidden="false" customHeight="false" outlineLevel="0" collapsed="false">
      <c r="A10" s="4" t="s">
        <v>62</v>
      </c>
      <c r="B10" s="8" t="s">
        <v>63</v>
      </c>
    </row>
    <row r="11" customFormat="false" ht="15" hidden="false" customHeight="false" outlineLevel="0" collapsed="false">
      <c r="A11" s="4" t="s">
        <v>64</v>
      </c>
      <c r="B11" s="17" t="n">
        <v>1650000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70"/>
  </cols>
  <sheetData>
    <row r="1" customFormat="false" ht="17.35" hidden="false" customHeight="false" outlineLevel="0" collapsed="false">
      <c r="A1" s="1" t="s">
        <v>65</v>
      </c>
    </row>
    <row r="2" customFormat="false" ht="30" hidden="false" customHeight="true" outlineLevel="0" collapsed="false">
      <c r="A2" s="16" t="s">
        <v>66</v>
      </c>
    </row>
    <row r="4" customFormat="false" ht="15" hidden="false" customHeight="false" outlineLevel="0" collapsed="false">
      <c r="A4" s="4" t="s">
        <v>67</v>
      </c>
      <c r="B4" s="18" t="s">
        <v>68</v>
      </c>
    </row>
    <row r="5" customFormat="false" ht="15" hidden="false" customHeight="false" outlineLevel="0" collapsed="false">
      <c r="A5" s="4" t="s">
        <v>69</v>
      </c>
      <c r="B5" s="18" t="s">
        <v>70</v>
      </c>
    </row>
    <row r="6" customFormat="false" ht="15" hidden="false" customHeight="false" outlineLevel="0" collapsed="false">
      <c r="A6" s="4" t="s">
        <v>71</v>
      </c>
      <c r="B6" s="18" t="s">
        <v>72</v>
      </c>
    </row>
    <row r="8" customFormat="false" ht="15" hidden="false" customHeight="false" outlineLevel="0" collapsed="false">
      <c r="A8" s="8" t="s">
        <v>73</v>
      </c>
      <c r="B8" s="19" t="s">
        <v>74</v>
      </c>
    </row>
    <row r="9" customFormat="false" ht="23.85" hidden="false" customHeight="false" outlineLevel="0" collapsed="false">
      <c r="A9" s="8" t="s">
        <v>75</v>
      </c>
      <c r="B9" s="18"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s>
  <sheetData>
    <row r="1" customFormat="false" ht="17.35" hidden="false" customHeight="false" outlineLevel="0" collapsed="false">
      <c r="A1" s="1" t="s">
        <v>77</v>
      </c>
    </row>
    <row r="2" customFormat="false" ht="15" hidden="false" customHeight="false" outlineLevel="0" collapsed="false">
      <c r="A2" s="2" t="s">
        <v>78</v>
      </c>
    </row>
    <row r="4" customFormat="false" ht="15" hidden="false" customHeight="false" outlineLevel="0" collapsed="false">
      <c r="A4" s="4" t="s">
        <v>79</v>
      </c>
      <c r="B4" s="4" t="s">
        <v>80</v>
      </c>
    </row>
    <row r="5" customFormat="false" ht="15" hidden="false" customHeight="false" outlineLevel="0" collapsed="false">
      <c r="A5" s="4" t="s">
        <v>9</v>
      </c>
      <c r="B5" s="5" t="n">
        <v>5000000</v>
      </c>
    </row>
    <row r="6" customFormat="false" ht="15" hidden="false" customHeight="false" outlineLevel="0" collapsed="false">
      <c r="A6" s="4" t="s">
        <v>14</v>
      </c>
      <c r="B6" s="4" t="n">
        <v>5</v>
      </c>
    </row>
    <row r="7" customFormat="false" ht="15" hidden="false" customHeight="false" outlineLevel="0" collapsed="false">
      <c r="A7" s="4" t="s">
        <v>81</v>
      </c>
      <c r="B7" s="5" t="n">
        <v>1000000</v>
      </c>
    </row>
    <row r="9" customFormat="false" ht="45" hidden="false" customHeight="true" outlineLevel="0" collapsed="false">
      <c r="A9" s="16"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70"/>
  </cols>
  <sheetData>
    <row r="1" customFormat="false" ht="17.35" hidden="false" customHeight="false" outlineLevel="0" collapsed="false">
      <c r="A1" s="1" t="s">
        <v>83</v>
      </c>
    </row>
    <row r="2" customFormat="false" ht="15" hidden="false" customHeight="false" outlineLevel="0" collapsed="false">
      <c r="A2" s="2" t="s">
        <v>84</v>
      </c>
    </row>
    <row r="4" customFormat="false" ht="15" hidden="false" customHeight="false" outlineLevel="0" collapsed="false">
      <c r="A4" s="15" t="s">
        <v>85</v>
      </c>
      <c r="B4" s="15" t="s">
        <v>86</v>
      </c>
      <c r="C4" s="15" t="s">
        <v>87</v>
      </c>
    </row>
    <row r="5" customFormat="false" ht="60" hidden="false" customHeight="true" outlineLevel="0" collapsed="false">
      <c r="A5" s="18" t="s">
        <v>88</v>
      </c>
      <c r="B5" s="18" t="s">
        <v>89</v>
      </c>
      <c r="C5" s="20" t="s">
        <v>90</v>
      </c>
    </row>
    <row r="6" customFormat="false" ht="60" hidden="false" customHeight="true" outlineLevel="0" collapsed="false">
      <c r="A6" s="18" t="s">
        <v>91</v>
      </c>
      <c r="B6" s="18" t="s">
        <v>89</v>
      </c>
      <c r="C6" s="20" t="s">
        <v>92</v>
      </c>
    </row>
    <row r="7" customFormat="false" ht="60" hidden="false" customHeight="true" outlineLevel="0" collapsed="false">
      <c r="A7" s="18" t="s">
        <v>93</v>
      </c>
      <c r="B7" s="18" t="s">
        <v>94</v>
      </c>
      <c r="C7" s="20" t="s">
        <v>95</v>
      </c>
    </row>
    <row r="8" customFormat="false" ht="60" hidden="false" customHeight="true" outlineLevel="0" collapsed="false">
      <c r="A8" s="18" t="s">
        <v>96</v>
      </c>
      <c r="B8" s="18" t="s">
        <v>97</v>
      </c>
      <c r="C8" s="20" t="s">
        <v>98</v>
      </c>
    </row>
    <row r="9" customFormat="false" ht="60" hidden="false" customHeight="true" outlineLevel="0" collapsed="false">
      <c r="A9" s="18" t="s">
        <v>99</v>
      </c>
      <c r="B9" s="19" t="s">
        <v>100</v>
      </c>
      <c r="C9" s="20" t="s">
        <v>101</v>
      </c>
    </row>
    <row r="10" customFormat="false" ht="60" hidden="false" customHeight="true" outlineLevel="0" collapsed="false">
      <c r="A10" s="18" t="s">
        <v>102</v>
      </c>
      <c r="B10" s="18" t="s">
        <v>103</v>
      </c>
      <c r="C10" s="20" t="s">
        <v>104</v>
      </c>
    </row>
    <row r="11" customFormat="false" ht="60" hidden="false" customHeight="true" outlineLevel="0" collapsed="false">
      <c r="A11" s="18" t="s">
        <v>105</v>
      </c>
      <c r="B11" s="18" t="s">
        <v>103</v>
      </c>
      <c r="C11" s="20" t="s">
        <v>106</v>
      </c>
    </row>
    <row r="12" customFormat="false" ht="60" hidden="false" customHeight="true" outlineLevel="0" collapsed="false">
      <c r="A12" s="18" t="s">
        <v>107</v>
      </c>
      <c r="B12" s="18" t="s">
        <v>108</v>
      </c>
      <c r="C12" s="20" t="s">
        <v>109</v>
      </c>
    </row>
    <row r="13" customFormat="false" ht="60" hidden="false" customHeight="true" outlineLevel="0" collapsed="false">
      <c r="A13" s="18" t="s">
        <v>110</v>
      </c>
      <c r="B13" s="18" t="s">
        <v>111</v>
      </c>
      <c r="C13" s="20" t="s">
        <v>112</v>
      </c>
    </row>
    <row r="14" customFormat="false" ht="60" hidden="false" customHeight="true" outlineLevel="0" collapsed="false">
      <c r="A14" s="18" t="s">
        <v>113</v>
      </c>
      <c r="B14" s="18" t="s">
        <v>114</v>
      </c>
      <c r="C14" s="20" t="s">
        <v>115</v>
      </c>
    </row>
    <row r="15" customFormat="false" ht="60" hidden="false" customHeight="true" outlineLevel="0" collapsed="false">
      <c r="A15" s="18" t="s">
        <v>116</v>
      </c>
      <c r="B15" s="18" t="s">
        <v>72</v>
      </c>
      <c r="C15" s="20" t="s">
        <v>117</v>
      </c>
    </row>
    <row r="16" customFormat="false" ht="60" hidden="false" customHeight="true" outlineLevel="0" collapsed="false">
      <c r="A16" s="18" t="s">
        <v>118</v>
      </c>
      <c r="B16" s="18" t="s">
        <v>72</v>
      </c>
      <c r="C16" s="20"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2026-09-07T12:40:45Z</dcterms:created>
  <dc:creator>openpyxl</dc:creator>
  <dc:description/>
  <dc:language>en-US</dc:language>
  <cp:lastModifiedBy/>
  <dcterms:modified xsi:type="dcterms:W3CDTF">2026-09-07T12:40:45Z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